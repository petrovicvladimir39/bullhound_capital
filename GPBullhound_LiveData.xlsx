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Funds" sheetId="2" state="visible" r:id="rId2"/>
    <sheet name="LPs" sheetId="3" state="visible" r:id="rId3"/>
    <sheet name="ExitPipeline" sheetId="4" state="visible" r:id="rId4"/>
    <sheet name="Pipeline" sheetId="5" state="visible" r:id="rId5"/>
    <sheet name="MacroScenarios" sheetId="6" state="visible" r:id="rId6"/>
    <sheet name="CapitalCalls" sheetId="7" state="visible" r:id="rId7"/>
    <sheet name="Benchmarks" sheetId="8" state="visible" r:id="rId8"/>
    <sheet name="WatchList" sheetId="9" state="visible" r:id="rId9"/>
    <sheet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7A776F"/>
      <sz val="10"/>
    </font>
    <font>
      <name val="Calibri"/>
      <color rgb="004A8BD4"/>
      <sz val="10"/>
    </font>
    <font>
      <name val="Calibri"/>
      <color rgb="002ECC8A"/>
      <sz val="10"/>
    </font>
    <font>
      <name val="Calibri"/>
      <b val="1"/>
      <color rgb="00E05555"/>
      <sz val="10"/>
    </font>
    <font>
      <name val="Calibri"/>
      <b val="1"/>
      <color rgb="007A776F"/>
      <sz val="12"/>
    </font>
    <font>
      <name val="Calibri"/>
      <b val="1"/>
      <color rgb="00FFFFFF"/>
      <sz val="10"/>
    </font>
    <font>
      <name val="Calibri"/>
      <b val="1"/>
      <color rgb="00E8622A"/>
      <sz val="10"/>
    </font>
    <font>
      <name val="Calibri"/>
      <b val="1"/>
      <color rgb="004A8BD4"/>
      <sz val="14"/>
    </font>
    <font>
      <name val="Calibri"/>
      <color rgb="007A776F"/>
      <sz val="10"/>
    </font>
    <font>
      <name val="Calibri"/>
      <b val="1"/>
      <color rgb="004A8BD4"/>
      <sz val="12"/>
    </font>
  </fonts>
  <fills count="6">
    <fill>
      <patternFill/>
    </fill>
    <fill>
      <patternFill patternType="gray125"/>
    </fill>
    <fill>
      <patternFill patternType="solid">
        <fgColor rgb="00131820"/>
      </patternFill>
    </fill>
    <fill>
      <patternFill patternType="solid">
        <fgColor rgb="000F1318"/>
      </patternFill>
    </fill>
    <fill>
      <patternFill patternType="solid">
        <fgColor rgb="000D1014"/>
      </patternFill>
    </fill>
    <fill>
      <patternFill patternType="solid">
        <fgColor rgb="00E05555"/>
      </patternFill>
    </fill>
  </fills>
  <borders count="2">
    <border>
      <left/>
      <right/>
      <top/>
      <bottom/>
      <diagonal/>
    </border>
    <border>
      <bottom style="medium">
        <color rgb="00E862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E05555"/>
          <bgColor rgb="00E0555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8BD4"/>
    <outlinePr summaryBelow="1" summaryRight="1"/>
    <pageSetUpPr/>
  </sheetPr>
  <dimension ref="A1:U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6" customWidth="1" min="13" max="13"/>
    <col width="10" customWidth="1" min="14" max="14"/>
    <col width="8" customWidth="1" min="15" max="15"/>
    <col width="12" customWidth="1" min="16" max="16"/>
    <col width="9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 ht="22" customHeight="1">
      <c r="A1" s="1" t="inlineStr">
        <is>
          <t>name</t>
        </is>
      </c>
      <c r="B1" s="1" t="inlineStr">
        <is>
          <t>arr</t>
        </is>
      </c>
      <c r="C1" s="1" t="inlineStr">
        <is>
          <t>arr_gr</t>
        </is>
      </c>
      <c r="D1" s="1" t="inlineStr">
        <is>
          <t>nav</t>
        </is>
      </c>
      <c r="E1" s="1" t="inlineStr">
        <is>
          <t>nav_pct</t>
        </is>
      </c>
      <c r="F1" s="1" t="inlineStr">
        <is>
          <t>moic</t>
        </is>
      </c>
      <c r="G1" s="1" t="inlineStr">
        <is>
          <t>burn</t>
        </is>
      </c>
      <c r="H1" s="1" t="inlineStr">
        <is>
          <t>gm</t>
        </is>
      </c>
      <c r="I1" s="1" t="inlineStr">
        <is>
          <t>nrr</t>
        </is>
      </c>
      <c r="J1" s="1" t="inlineStr">
        <is>
          <t>ev_arr</t>
        </is>
      </c>
      <c r="K1" s="1" t="inlineStr">
        <is>
          <t>ev_arr_entry</t>
        </is>
      </c>
      <c r="L1" s="1" t="inlineStr">
        <is>
          <t>valuation</t>
        </is>
      </c>
      <c r="M1" s="1" t="inlineStr">
        <is>
          <t>sector</t>
        </is>
      </c>
      <c r="N1" s="1" t="inlineStr">
        <is>
          <t>stage</t>
        </is>
      </c>
      <c r="O1" s="1" t="inlineStr">
        <is>
          <t>geo</t>
        </is>
      </c>
      <c r="P1" s="1" t="inlineStr">
        <is>
          <t>status</t>
        </is>
      </c>
      <c r="Q1" s="1" t="inlineStr">
        <is>
          <t>funds</t>
        </is>
      </c>
      <c r="R1" s="1" t="inlineStr">
        <is>
          <t>esg_e</t>
        </is>
      </c>
      <c r="S1" s="1" t="inlineStr">
        <is>
          <t>esg_s</t>
        </is>
      </c>
      <c r="T1" s="1" t="inlineStr">
        <is>
          <t>esg_g</t>
        </is>
      </c>
      <c r="U1" s="1" t="inlineStr">
        <is>
          <t>lever</t>
        </is>
      </c>
    </row>
    <row r="2">
      <c r="A2" s="2" t="inlineStr">
        <is>
          <t>Q-CTRL</t>
        </is>
      </c>
      <c r="B2" s="3" t="n">
        <v>18</v>
      </c>
      <c r="C2" s="3" t="n">
        <v>120</v>
      </c>
      <c r="D2" s="3" t="n">
        <v>82</v>
      </c>
      <c r="E2" s="4">
        <f>IFERROR(D2/SUM($D$2:$D$11)*100,0)</f>
        <v/>
      </c>
      <c r="F2" s="3" t="n">
        <v>2.3</v>
      </c>
      <c r="G2" s="3" t="n">
        <v>1.2</v>
      </c>
      <c r="H2" s="3" t="n">
        <v>75</v>
      </c>
      <c r="I2" s="3" t="n">
        <v>145</v>
      </c>
      <c r="J2" s="4">
        <f>IFERROR(L2/B2,0)</f>
        <v/>
      </c>
      <c r="K2" s="3" t="n">
        <v>12</v>
      </c>
      <c r="L2" s="3" t="n">
        <v>396</v>
      </c>
      <c r="M2" s="2" t="inlineStr">
        <is>
          <t>DeepTech/Quantum</t>
        </is>
      </c>
      <c r="N2" s="2" t="inlineStr">
        <is>
          <t>Series D</t>
        </is>
      </c>
      <c r="O2" s="2" t="inlineStr">
        <is>
          <t>AU/US</t>
        </is>
      </c>
      <c r="P2" s="2" t="inlineStr">
        <is>
          <t>Star</t>
        </is>
      </c>
      <c r="Q2" s="2" t="inlineStr">
        <is>
          <t>Fund V</t>
        </is>
      </c>
      <c r="R2" s="3" t="n">
        <v>72</v>
      </c>
      <c r="S2" s="3" t="n">
        <v>80</v>
      </c>
      <c r="T2" s="3" t="n">
        <v>68</v>
      </c>
      <c r="U2" s="3" t="n">
        <v>3.2</v>
      </c>
    </row>
    <row r="3">
      <c r="A3" s="5" t="inlineStr">
        <is>
          <t>Multiverse</t>
        </is>
      </c>
      <c r="B3" s="6" t="n">
        <v>48</v>
      </c>
      <c r="C3" s="6" t="n">
        <v>65</v>
      </c>
      <c r="D3" s="6" t="n">
        <v>55</v>
      </c>
      <c r="E3" s="7">
        <f>IFERROR(D3/SUM($D$2:$D$11)*100,0)</f>
        <v/>
      </c>
      <c r="F3" s="6" t="n">
        <v>2</v>
      </c>
      <c r="G3" s="6" t="n">
        <v>1.4</v>
      </c>
      <c r="H3" s="6" t="n">
        <v>66</v>
      </c>
      <c r="I3" s="6" t="n">
        <v>122</v>
      </c>
      <c r="J3" s="7">
        <f>IFERROR(L3/B3,0)</f>
        <v/>
      </c>
      <c r="K3" s="6" t="n">
        <v>6.2</v>
      </c>
      <c r="L3" s="6" t="n">
        <v>408</v>
      </c>
      <c r="M3" s="5" t="inlineStr">
        <is>
          <t>EdTech</t>
        </is>
      </c>
      <c r="N3" s="5" t="inlineStr">
        <is>
          <t>Series D</t>
        </is>
      </c>
      <c r="O3" s="5" t="inlineStr">
        <is>
          <t>UK</t>
        </is>
      </c>
      <c r="P3" s="5" t="inlineStr">
        <is>
          <t>Core</t>
        </is>
      </c>
      <c r="Q3" s="5" t="inlineStr">
        <is>
          <t>Fund IV</t>
        </is>
      </c>
      <c r="R3" s="6" t="n">
        <v>68</v>
      </c>
      <c r="S3" s="6" t="n">
        <v>71</v>
      </c>
      <c r="T3" s="6" t="n">
        <v>66</v>
      </c>
      <c r="U3" s="6" t="n">
        <v>2.8</v>
      </c>
    </row>
    <row r="4">
      <c r="A4" s="2" t="inlineStr">
        <is>
          <t>d-Matrix</t>
        </is>
      </c>
      <c r="B4" s="3" t="n">
        <v>5</v>
      </c>
      <c r="C4" s="3" t="n">
        <v>200</v>
      </c>
      <c r="D4" s="3" t="n">
        <v>38</v>
      </c>
      <c r="E4" s="4">
        <f>IFERROR(D4/SUM($D$2:$D$11)*100,0)</f>
        <v/>
      </c>
      <c r="F4" s="3" t="n">
        <v>1.7</v>
      </c>
      <c r="G4" s="3" t="n">
        <v>4.2</v>
      </c>
      <c r="H4" s="3" t="n">
        <v>45</v>
      </c>
      <c r="I4" s="8" t="n"/>
      <c r="J4" s="4">
        <f>IFERROR(L4/B4,0)</f>
        <v/>
      </c>
      <c r="K4" s="3" t="n">
        <v>22</v>
      </c>
      <c r="L4" s="3" t="n">
        <v>220</v>
      </c>
      <c r="M4" s="2" t="inlineStr">
        <is>
          <t>AI Hardware</t>
        </is>
      </c>
      <c r="N4" s="2" t="inlineStr">
        <is>
          <t>Series B</t>
        </is>
      </c>
      <c r="O4" s="2" t="inlineStr">
        <is>
          <t>US</t>
        </is>
      </c>
      <c r="P4" s="2" t="inlineStr">
        <is>
          <t>High Growth</t>
        </is>
      </c>
      <c r="Q4" s="2" t="inlineStr">
        <is>
          <t>Fund V</t>
        </is>
      </c>
      <c r="R4" s="3" t="n">
        <v>58</v>
      </c>
      <c r="S4" s="3" t="n">
        <v>62</v>
      </c>
      <c r="T4" s="3" t="n">
        <v>55</v>
      </c>
      <c r="U4" s="3" t="n">
        <v>4.1</v>
      </c>
    </row>
    <row r="5">
      <c r="A5" s="5" t="inlineStr">
        <is>
          <t>Ledger</t>
        </is>
      </c>
      <c r="B5" s="6" t="n">
        <v>85</v>
      </c>
      <c r="C5" s="6" t="n">
        <v>35</v>
      </c>
      <c r="D5" s="6" t="n">
        <v>32</v>
      </c>
      <c r="E5" s="7">
        <f>IFERROR(D5/SUM($D$2:$D$11)*100,0)</f>
        <v/>
      </c>
      <c r="F5" s="6" t="n">
        <v>1.6</v>
      </c>
      <c r="G5" s="6" t="n">
        <v>0.6</v>
      </c>
      <c r="H5" s="6" t="n">
        <v>72</v>
      </c>
      <c r="I5" s="6" t="n">
        <v>118</v>
      </c>
      <c r="J5" s="7">
        <f>IFERROR(L5/B5,0)</f>
        <v/>
      </c>
      <c r="K5" s="6" t="n">
        <v>9.5</v>
      </c>
      <c r="L5" s="6" t="n">
        <v>1530</v>
      </c>
      <c r="M5" s="5" t="inlineStr">
        <is>
          <t>FinTech/Crypto</t>
        </is>
      </c>
      <c r="N5" s="5" t="inlineStr">
        <is>
          <t>Series D</t>
        </is>
      </c>
      <c r="O5" s="5" t="inlineStr">
        <is>
          <t>FR</t>
        </is>
      </c>
      <c r="P5" s="5" t="inlineStr">
        <is>
          <t>Core</t>
        </is>
      </c>
      <c r="Q5" s="5" t="inlineStr">
        <is>
          <t>Fund III</t>
        </is>
      </c>
      <c r="R5" s="6" t="n">
        <v>70</v>
      </c>
      <c r="S5" s="6" t="n">
        <v>74</v>
      </c>
      <c r="T5" s="6" t="n">
        <v>69</v>
      </c>
      <c r="U5" s="6" t="n">
        <v>2.1</v>
      </c>
    </row>
    <row r="6">
      <c r="A6" s="2" t="inlineStr">
        <is>
          <t>Wayflyer</t>
        </is>
      </c>
      <c r="B6" s="3" t="n">
        <v>42</v>
      </c>
      <c r="C6" s="3" t="n">
        <v>55</v>
      </c>
      <c r="D6" s="3" t="n">
        <v>40</v>
      </c>
      <c r="E6" s="4">
        <f>IFERROR(D6/SUM($D$2:$D$11)*100,0)</f>
        <v/>
      </c>
      <c r="F6" s="3" t="n">
        <v>1.4</v>
      </c>
      <c r="G6" s="3" t="n">
        <v>1.1</v>
      </c>
      <c r="H6" s="3" t="n">
        <v>68</v>
      </c>
      <c r="I6" s="3" t="n">
        <v>115</v>
      </c>
      <c r="J6" s="4">
        <f>IFERROR(L6/B6,0)</f>
        <v/>
      </c>
      <c r="K6" s="3" t="n">
        <v>5.8</v>
      </c>
      <c r="L6" s="3" t="n">
        <v>298</v>
      </c>
      <c r="M6" s="2" t="inlineStr">
        <is>
          <t>FinTech</t>
        </is>
      </c>
      <c r="N6" s="2" t="inlineStr">
        <is>
          <t>Series C</t>
        </is>
      </c>
      <c r="O6" s="2" t="inlineStr">
        <is>
          <t>IE/US</t>
        </is>
      </c>
      <c r="P6" s="2" t="inlineStr">
        <is>
          <t>Core</t>
        </is>
      </c>
      <c r="Q6" s="2" t="inlineStr">
        <is>
          <t>Fund V</t>
        </is>
      </c>
      <c r="R6" s="3" t="n">
        <v>64</v>
      </c>
      <c r="S6" s="3" t="n">
        <v>68</v>
      </c>
      <c r="T6" s="3" t="n">
        <v>62</v>
      </c>
      <c r="U6" s="3" t="n">
        <v>2.9</v>
      </c>
    </row>
    <row r="7">
      <c r="A7" s="5" t="inlineStr">
        <is>
          <t>Matillion</t>
        </is>
      </c>
      <c r="B7" s="6" t="n">
        <v>62</v>
      </c>
      <c r="C7" s="6" t="n">
        <v>40</v>
      </c>
      <c r="D7" s="6" t="n">
        <v>32</v>
      </c>
      <c r="E7" s="7">
        <f>IFERROR(D7/SUM($D$2:$D$11)*100,0)</f>
        <v/>
      </c>
      <c r="F7" s="6" t="n">
        <v>1.5</v>
      </c>
      <c r="G7" s="6" t="n">
        <v>1.3</v>
      </c>
      <c r="H7" s="6" t="n">
        <v>70</v>
      </c>
      <c r="I7" s="6" t="n">
        <v>130</v>
      </c>
      <c r="J7" s="7">
        <f>IFERROR(L7/B7,0)</f>
        <v/>
      </c>
      <c r="K7" s="6" t="n">
        <v>7.2</v>
      </c>
      <c r="L7" s="6" t="n">
        <v>583</v>
      </c>
      <c r="M7" s="5" t="inlineStr">
        <is>
          <t>Software</t>
        </is>
      </c>
      <c r="N7" s="5" t="inlineStr">
        <is>
          <t>Series E</t>
        </is>
      </c>
      <c r="O7" s="5" t="inlineStr">
        <is>
          <t>UK/US</t>
        </is>
      </c>
      <c r="P7" s="5" t="inlineStr">
        <is>
          <t>Core</t>
        </is>
      </c>
      <c r="Q7" s="5" t="inlineStr">
        <is>
          <t>Fund IV</t>
        </is>
      </c>
      <c r="R7" s="6" t="n">
        <v>66</v>
      </c>
      <c r="S7" s="6" t="n">
        <v>70</v>
      </c>
      <c r="T7" s="6" t="n">
        <v>65</v>
      </c>
      <c r="U7" s="6" t="n">
        <v>2.5</v>
      </c>
    </row>
    <row r="8">
      <c r="A8" s="2" t="inlineStr">
        <is>
          <t>Sanity</t>
        </is>
      </c>
      <c r="B8" s="3" t="n">
        <v>24</v>
      </c>
      <c r="C8" s="3" t="n">
        <v>38</v>
      </c>
      <c r="D8" s="3" t="n">
        <v>18</v>
      </c>
      <c r="E8" s="4">
        <f>IFERROR(D8/SUM($D$2:$D$11)*100,0)</f>
        <v/>
      </c>
      <c r="F8" s="3" t="n">
        <v>1.5</v>
      </c>
      <c r="G8" s="3" t="n">
        <v>1.8</v>
      </c>
      <c r="H8" s="3" t="n">
        <v>71</v>
      </c>
      <c r="I8" s="3" t="n">
        <v>108</v>
      </c>
      <c r="J8" s="4">
        <f>IFERROR(L8/B8,0)</f>
        <v/>
      </c>
      <c r="K8" s="3" t="n">
        <v>7.5</v>
      </c>
      <c r="L8" s="3" t="n">
        <v>228</v>
      </c>
      <c r="M8" s="2" t="inlineStr">
        <is>
          <t>Software</t>
        </is>
      </c>
      <c r="N8" s="2" t="inlineStr">
        <is>
          <t>Series C</t>
        </is>
      </c>
      <c r="O8" s="2" t="inlineStr">
        <is>
          <t>NO</t>
        </is>
      </c>
      <c r="P8" s="2" t="inlineStr">
        <is>
          <t>Watch</t>
        </is>
      </c>
      <c r="Q8" s="2" t="inlineStr">
        <is>
          <t>Fund V</t>
        </is>
      </c>
      <c r="R8" s="3" t="n">
        <v>60</v>
      </c>
      <c r="S8" s="3" t="n">
        <v>64</v>
      </c>
      <c r="T8" s="3" t="n">
        <v>58</v>
      </c>
      <c r="U8" s="3" t="n">
        <v>3</v>
      </c>
    </row>
    <row r="9">
      <c r="A9" s="5" t="inlineStr">
        <is>
          <t>Headway</t>
        </is>
      </c>
      <c r="B9" s="6" t="n">
        <v>15</v>
      </c>
      <c r="C9" s="6" t="n">
        <v>80</v>
      </c>
      <c r="D9" s="6" t="n">
        <v>14</v>
      </c>
      <c r="E9" s="7">
        <f>IFERROR(D9/SUM($D$2:$D$11)*100,0)</f>
        <v/>
      </c>
      <c r="F9" s="6" t="n">
        <v>1.1</v>
      </c>
      <c r="G9" s="6" t="n">
        <v>2.1</v>
      </c>
      <c r="H9" s="6" t="n">
        <v>62</v>
      </c>
      <c r="I9" s="6" t="n">
        <v>95</v>
      </c>
      <c r="J9" s="7">
        <f>IFERROR(L9/B9,0)</f>
        <v/>
      </c>
      <c r="K9" s="6" t="n">
        <v>5.5</v>
      </c>
      <c r="L9" s="6" t="n">
        <v>108</v>
      </c>
      <c r="M9" s="5" t="inlineStr">
        <is>
          <t>EdTech</t>
        </is>
      </c>
      <c r="N9" s="5" t="inlineStr">
        <is>
          <t>Series B</t>
        </is>
      </c>
      <c r="O9" s="5" t="inlineStr">
        <is>
          <t>UA/US</t>
        </is>
      </c>
      <c r="P9" s="5" t="inlineStr">
        <is>
          <t>Watch</t>
        </is>
      </c>
      <c r="Q9" s="5" t="inlineStr">
        <is>
          <t>Fund VI</t>
        </is>
      </c>
      <c r="R9" s="6" t="n">
        <v>55</v>
      </c>
      <c r="S9" s="6" t="n">
        <v>60</v>
      </c>
      <c r="T9" s="6" t="n">
        <v>52</v>
      </c>
      <c r="U9" s="6" t="n">
        <v>3.5</v>
      </c>
    </row>
    <row r="10">
      <c r="A10" s="2" t="inlineStr">
        <is>
          <t>Booksy</t>
        </is>
      </c>
      <c r="B10" s="3" t="n">
        <v>38</v>
      </c>
      <c r="C10" s="3" t="n">
        <v>42</v>
      </c>
      <c r="D10" s="3" t="n">
        <v>32</v>
      </c>
      <c r="E10" s="4">
        <f>IFERROR(D10/SUM($D$2:$D$11)*100,0)</f>
        <v/>
      </c>
      <c r="F10" s="3" t="n">
        <v>1.3</v>
      </c>
      <c r="G10" s="3" t="n">
        <v>0.7</v>
      </c>
      <c r="H10" s="3" t="n">
        <v>71</v>
      </c>
      <c r="I10" s="3" t="n">
        <v>115</v>
      </c>
      <c r="J10" s="4">
        <f>IFERROR(L10/B10,0)</f>
        <v/>
      </c>
      <c r="K10" s="3" t="n">
        <v>6.8</v>
      </c>
      <c r="L10" s="3" t="n">
        <v>334</v>
      </c>
      <c r="M10" s="2" t="inlineStr">
        <is>
          <t>Software</t>
        </is>
      </c>
      <c r="N10" s="2" t="inlineStr">
        <is>
          <t>Series D</t>
        </is>
      </c>
      <c r="O10" s="2" t="inlineStr">
        <is>
          <t>PL/US</t>
        </is>
      </c>
      <c r="P10" s="2" t="inlineStr">
        <is>
          <t>Core</t>
        </is>
      </c>
      <c r="Q10" s="2" t="inlineStr">
        <is>
          <t>Fund V</t>
        </is>
      </c>
      <c r="R10" s="3" t="n">
        <v>62</v>
      </c>
      <c r="S10" s="3" t="n">
        <v>66</v>
      </c>
      <c r="T10" s="3" t="n">
        <v>61</v>
      </c>
      <c r="U10" s="3" t="n">
        <v>2.7</v>
      </c>
    </row>
    <row r="11">
      <c r="A11" s="5" t="inlineStr">
        <is>
          <t>Quantexa</t>
        </is>
      </c>
      <c r="B11" s="6" t="n">
        <v>55</v>
      </c>
      <c r="C11" s="6" t="n">
        <v>68</v>
      </c>
      <c r="D11" s="6" t="n">
        <v>58</v>
      </c>
      <c r="E11" s="7">
        <f>IFERROR(D11/SUM($D$2:$D$11)*100,0)</f>
        <v/>
      </c>
      <c r="F11" s="6" t="n">
        <v>2.1</v>
      </c>
      <c r="G11" s="6" t="n">
        <v>1.5</v>
      </c>
      <c r="H11" s="6" t="n">
        <v>68</v>
      </c>
      <c r="I11" s="6" t="n">
        <v>125</v>
      </c>
      <c r="J11" s="7">
        <f>IFERROR(L11/B11,0)</f>
        <v/>
      </c>
      <c r="K11" s="6" t="n">
        <v>9.800000000000001</v>
      </c>
      <c r="L11" s="6" t="n">
        <v>781</v>
      </c>
      <c r="M11" s="5" t="inlineStr">
        <is>
          <t>AI/Data</t>
        </is>
      </c>
      <c r="N11" s="5" t="inlineStr">
        <is>
          <t>Series E</t>
        </is>
      </c>
      <c r="O11" s="5" t="inlineStr">
        <is>
          <t>UK</t>
        </is>
      </c>
      <c r="P11" s="5" t="inlineStr">
        <is>
          <t>Star</t>
        </is>
      </c>
      <c r="Q11" s="5" t="inlineStr">
        <is>
          <t>Fund IV</t>
        </is>
      </c>
      <c r="R11" s="6" t="n">
        <v>71</v>
      </c>
      <c r="S11" s="6" t="n">
        <v>75</v>
      </c>
      <c r="T11" s="6" t="n">
        <v>70</v>
      </c>
      <c r="U11" s="6" t="n">
        <v>2.6</v>
      </c>
    </row>
    <row r="13">
      <c r="A13" s="1" t="inlineStr">
        <is>
          <t>TOTAL / AVG</t>
        </is>
      </c>
      <c r="B13" s="7">
        <f>SUM(B2:B11)</f>
        <v/>
      </c>
      <c r="C13" s="7">
        <f>IFERROR(AVERAGE(C2:C11),0)</f>
        <v/>
      </c>
      <c r="D13" s="7">
        <f>SUM(D2:D11)</f>
        <v/>
      </c>
      <c r="E13" s="7">
        <f>IFERROR(AVERAGE(E2:E11),0)</f>
        <v/>
      </c>
      <c r="F13" s="7">
        <f>IFERROR(AVERAGE(F2:F11),0)</f>
        <v/>
      </c>
      <c r="G13" s="7">
        <f>IFERROR(AVERAGE(G2:G11),0)</f>
        <v/>
      </c>
      <c r="H13" s="7">
        <f>IFERROR(AVERAGE(H2:H11),0)</f>
        <v/>
      </c>
      <c r="I13" s="7">
        <f>IFERROR(AVERAGE(I2:I11),0)</f>
        <v/>
      </c>
      <c r="J13" s="7">
        <f>IFERROR(AVERAGE(J2:J11),0)</f>
        <v/>
      </c>
      <c r="K13" s="7">
        <f>IFERROR(AVERAGE(K2:K11),0)</f>
        <v/>
      </c>
      <c r="L13" s="7">
        <f>SUM(L2:L11)</f>
        <v/>
      </c>
      <c r="M13" s="7">
        <f>IFERROR(AVERAGE(M2:M11),0)</f>
        <v/>
      </c>
      <c r="N13" s="7">
        <f>IFERROR(AVERAGE(N2:N11),0)</f>
        <v/>
      </c>
      <c r="O13" s="7">
        <f>IFERROR(AVERAGE(O2:O11),0)</f>
        <v/>
      </c>
      <c r="P13" s="7">
        <f>IFERROR(AVERAGE(P2:P11),0)</f>
        <v/>
      </c>
      <c r="Q13" s="7">
        <f>IFERROR(AVERAGE(Q2:Q11),0)</f>
        <v/>
      </c>
      <c r="R13" s="7">
        <f>IFERROR(AVERAGE(R2:R11),0)</f>
        <v/>
      </c>
      <c r="S13" s="7">
        <f>IFERROR(AVERAGE(S2:S11),0)</f>
        <v/>
      </c>
      <c r="T13" s="7">
        <f>IFERROR(AVERAGE(T2:T11),0)</f>
        <v/>
      </c>
      <c r="U13" s="7">
        <f>IFERROR(AVERAGE(U2:U11),0)</f>
        <v/>
      </c>
    </row>
  </sheetData>
  <dataValidations count="2">
    <dataValidation sqref="P2:P11" showDropDown="0" showInputMessage="0" showErrorMessage="1" allowBlank="1" type="list">
      <formula1>"Star,Core,High Growth,Watch"</formula1>
    </dataValidation>
    <dataValidation sqref="N2:N11" showDropDown="0" showInputMessage="0" showErrorMessage="1" allowBlank="1" type="list">
      <formula1>"Series A,Series B,Series C,Series D,Series E,Pre-IPO"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622A"/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fund</t>
        </is>
      </c>
      <c r="B1" s="1" t="inlineStr">
        <is>
          <t>vintage</t>
        </is>
      </c>
      <c r="C1" s="1" t="inlineStr">
        <is>
          <t>size_m</t>
        </is>
      </c>
      <c r="D1" s="1" t="inlineStr">
        <is>
          <t>irr</t>
        </is>
      </c>
      <c r="E1" s="1" t="inlineStr">
        <is>
          <t>tvpi</t>
        </is>
      </c>
      <c r="F1" s="1" t="inlineStr">
        <is>
          <t>dpi</t>
        </is>
      </c>
      <c r="G1" s="1" t="inlineStr">
        <is>
          <t>nav_m</t>
        </is>
      </c>
      <c r="H1" s="1" t="inlineStr">
        <is>
          <t>realized_m</t>
        </is>
      </c>
    </row>
    <row r="2">
      <c r="A2" s="2" t="inlineStr">
        <is>
          <t>Fund I</t>
        </is>
      </c>
      <c r="B2" s="3" t="n">
        <v>2008</v>
      </c>
      <c r="C2" s="3" t="inlineStr">
        <is>
          <t>€30M</t>
        </is>
      </c>
      <c r="D2" s="3" t="n">
        <v>22.1</v>
      </c>
      <c r="E2" s="3" t="n">
        <v>3.1</v>
      </c>
      <c r="F2" s="3" t="n">
        <v>3.1</v>
      </c>
      <c r="G2" s="3" t="n">
        <v>0</v>
      </c>
      <c r="H2" s="3" t="n">
        <v>93</v>
      </c>
    </row>
    <row r="3">
      <c r="A3" s="5" t="inlineStr">
        <is>
          <t>Fund II</t>
        </is>
      </c>
      <c r="B3" s="6" t="n">
        <v>2011</v>
      </c>
      <c r="C3" s="6" t="inlineStr">
        <is>
          <t>€80M</t>
        </is>
      </c>
      <c r="D3" s="6" t="n">
        <v>19.8</v>
      </c>
      <c r="E3" s="6" t="n">
        <v>2.7</v>
      </c>
      <c r="F3" s="6" t="n">
        <v>2.7</v>
      </c>
      <c r="G3" s="6" t="n">
        <v>0</v>
      </c>
      <c r="H3" s="6" t="n">
        <v>200</v>
      </c>
    </row>
    <row r="4">
      <c r="A4" s="2" t="inlineStr">
        <is>
          <t>Fund III</t>
        </is>
      </c>
      <c r="B4" s="3" t="n">
        <v>2013</v>
      </c>
      <c r="C4" s="3" t="inlineStr">
        <is>
          <t>€150M</t>
        </is>
      </c>
      <c r="D4" s="3" t="n">
        <v>17.2</v>
      </c>
      <c r="E4" s="3" t="n">
        <v>2.4</v>
      </c>
      <c r="F4" s="3" t="n">
        <v>1.9</v>
      </c>
      <c r="G4" s="3" t="n">
        <v>75</v>
      </c>
      <c r="H4" s="3" t="n">
        <v>285</v>
      </c>
    </row>
    <row r="5">
      <c r="A5" s="5" t="inlineStr">
        <is>
          <t>Fund IV</t>
        </is>
      </c>
      <c r="B5" s="6" t="n">
        <v>2018</v>
      </c>
      <c r="C5" s="6" t="inlineStr">
        <is>
          <t>€220M</t>
        </is>
      </c>
      <c r="D5" s="6" t="n">
        <v>16.5</v>
      </c>
      <c r="E5" s="6" t="n">
        <v>2.1</v>
      </c>
      <c r="F5" s="6" t="n">
        <v>0.8</v>
      </c>
      <c r="G5" s="6" t="n">
        <v>256</v>
      </c>
      <c r="H5" s="6" t="n">
        <v>176</v>
      </c>
    </row>
    <row r="6">
      <c r="A6" s="2" t="inlineStr">
        <is>
          <t>Fund V</t>
        </is>
      </c>
      <c r="B6" s="3" t="n">
        <v>2020</v>
      </c>
      <c r="C6" s="3" t="inlineStr">
        <is>
          <t>€353M</t>
        </is>
      </c>
      <c r="D6" s="3" t="n">
        <v>14.8</v>
      </c>
      <c r="E6" s="3" t="n">
        <v>1.7</v>
      </c>
      <c r="F6" s="3" t="n">
        <v>0.3</v>
      </c>
      <c r="G6" s="3" t="n">
        <v>420</v>
      </c>
      <c r="H6" s="3" t="n">
        <v>106</v>
      </c>
    </row>
    <row r="7">
      <c r="A7" s="5" t="inlineStr">
        <is>
          <t>Fund VI</t>
        </is>
      </c>
      <c r="B7" s="6" t="n">
        <v>2022</v>
      </c>
      <c r="C7" s="6" t="inlineStr">
        <is>
          <t>$431M</t>
        </is>
      </c>
      <c r="D7" s="6" t="n">
        <v>12.4</v>
      </c>
      <c r="E7" s="6" t="n">
        <v>1.4</v>
      </c>
      <c r="F7" s="6" t="n">
        <v>0</v>
      </c>
      <c r="G7" s="6" t="n">
        <v>294</v>
      </c>
      <c r="H7" s="6" t="n">
        <v>0</v>
      </c>
    </row>
    <row r="10">
      <c r="A10" s="9" t="inlineStr">
        <is>
          <t>Quarterly IRR Trajectory (Q2'22 – Q1'25)</t>
        </is>
      </c>
    </row>
    <row r="11">
      <c r="A11" s="1" t="inlineStr">
        <is>
          <t>fund</t>
        </is>
      </c>
      <c r="B11" s="1" t="inlineStr">
        <is>
          <t>Q2'22</t>
        </is>
      </c>
      <c r="C11" s="1" t="inlineStr">
        <is>
          <t>Q3'22</t>
        </is>
      </c>
      <c r="D11" s="1" t="inlineStr">
        <is>
          <t>Q4'22</t>
        </is>
      </c>
      <c r="E11" s="1" t="inlineStr">
        <is>
          <t>Q1'23</t>
        </is>
      </c>
      <c r="F11" s="1" t="inlineStr">
        <is>
          <t>Q2'23</t>
        </is>
      </c>
      <c r="G11" s="1" t="inlineStr">
        <is>
          <t>Q3'23</t>
        </is>
      </c>
      <c r="H11" s="1" t="inlineStr">
        <is>
          <t>Q4'23</t>
        </is>
      </c>
      <c r="I11" s="1" t="inlineStr">
        <is>
          <t>Q1'24</t>
        </is>
      </c>
      <c r="J11" s="1" t="inlineStr">
        <is>
          <t>Q2'24</t>
        </is>
      </c>
      <c r="K11" s="1" t="inlineStr">
        <is>
          <t>Q3'24</t>
        </is>
      </c>
      <c r="L11" s="1" t="inlineStr">
        <is>
          <t>Q4'24</t>
        </is>
      </c>
      <c r="M11" s="1" t="inlineStr">
        <is>
          <t>Q1'25</t>
        </is>
      </c>
    </row>
    <row r="12">
      <c r="A12" s="2" t="inlineStr">
        <is>
          <t>Fund III</t>
        </is>
      </c>
      <c r="B12" s="3" t="n">
        <v>21.2</v>
      </c>
      <c r="C12" s="3" t="n">
        <v>20.8</v>
      </c>
      <c r="D12" s="3" t="n">
        <v>20.1</v>
      </c>
      <c r="E12" s="3" t="n">
        <v>19.5</v>
      </c>
      <c r="F12" s="3" t="n">
        <v>19</v>
      </c>
      <c r="G12" s="3" t="n">
        <v>18.6</v>
      </c>
      <c r="H12" s="3" t="n">
        <v>18.2</v>
      </c>
      <c r="I12" s="3" t="n">
        <v>17.8</v>
      </c>
      <c r="J12" s="3" t="n">
        <v>17.5</v>
      </c>
      <c r="K12" s="3" t="n">
        <v>17.3</v>
      </c>
      <c r="L12" s="3" t="n">
        <v>17.2</v>
      </c>
      <c r="M12" s="3" t="n">
        <v>17.2</v>
      </c>
    </row>
    <row r="13">
      <c r="A13" s="5" t="inlineStr">
        <is>
          <t>Fund IV</t>
        </is>
      </c>
      <c r="B13" s="6" t="n">
        <v>12</v>
      </c>
      <c r="C13" s="6" t="n">
        <v>13.2</v>
      </c>
      <c r="D13" s="6" t="n">
        <v>14.1</v>
      </c>
      <c r="E13" s="6" t="n">
        <v>15</v>
      </c>
      <c r="F13" s="6" t="n">
        <v>15.8</v>
      </c>
      <c r="G13" s="6" t="n">
        <v>16.2</v>
      </c>
      <c r="H13" s="6" t="n">
        <v>16.5</v>
      </c>
      <c r="I13" s="6" t="n">
        <v>16.5</v>
      </c>
      <c r="J13" s="6" t="n">
        <v>16.4</v>
      </c>
      <c r="K13" s="6" t="n">
        <v>16.5</v>
      </c>
      <c r="L13" s="6" t="n">
        <v>16.5</v>
      </c>
      <c r="M13" s="6" t="n">
        <v>16.5</v>
      </c>
    </row>
    <row r="14">
      <c r="A14" s="2" t="inlineStr">
        <is>
          <t>Fund V</t>
        </is>
      </c>
      <c r="B14" s="3" t="n">
        <v>5.1</v>
      </c>
      <c r="C14" s="3" t="n">
        <v>6.8</v>
      </c>
      <c r="D14" s="3" t="n">
        <v>8.199999999999999</v>
      </c>
      <c r="E14" s="3" t="n">
        <v>9.5</v>
      </c>
      <c r="F14" s="3" t="n">
        <v>10.8</v>
      </c>
      <c r="G14" s="3" t="n">
        <v>12</v>
      </c>
      <c r="H14" s="3" t="n">
        <v>12.9</v>
      </c>
      <c r="I14" s="3" t="n">
        <v>13.6</v>
      </c>
      <c r="J14" s="3" t="n">
        <v>14.2</v>
      </c>
      <c r="K14" s="3" t="n">
        <v>14.6</v>
      </c>
      <c r="L14" s="3" t="n">
        <v>14.8</v>
      </c>
      <c r="M14" s="3" t="n">
        <v>14.8</v>
      </c>
    </row>
    <row r="15">
      <c r="A15" s="5" t="inlineStr">
        <is>
          <t>Fund VI</t>
        </is>
      </c>
      <c r="B15" s="6" t="n">
        <v>0</v>
      </c>
      <c r="C15" s="6" t="n">
        <v>0</v>
      </c>
      <c r="D15" s="6" t="n">
        <v>2.1</v>
      </c>
      <c r="E15" s="6" t="n">
        <v>4.5</v>
      </c>
      <c r="F15" s="6" t="n">
        <v>6.2</v>
      </c>
      <c r="G15" s="6" t="n">
        <v>7.8</v>
      </c>
      <c r="H15" s="6" t="n">
        <v>8.9</v>
      </c>
      <c r="I15" s="6" t="n">
        <v>10.2</v>
      </c>
      <c r="J15" s="6" t="n">
        <v>10.8</v>
      </c>
      <c r="K15" s="6" t="n">
        <v>11.2</v>
      </c>
      <c r="L15" s="6" t="n">
        <v>11.8</v>
      </c>
      <c r="M15" s="6" t="n">
        <v>12.4</v>
      </c>
    </row>
    <row r="18">
      <c r="A18" s="9" t="inlineStr">
        <is>
          <t>PME Analysis</t>
        </is>
      </c>
    </row>
    <row r="19">
      <c r="A19" s="1" t="inlineStr">
        <is>
          <t>benchmark</t>
        </is>
      </c>
      <c r="B19" s="1" t="inlineStr">
        <is>
          <t>Fund I</t>
        </is>
      </c>
      <c r="C19" s="1" t="inlineStr">
        <is>
          <t>Fund II</t>
        </is>
      </c>
      <c r="D19" s="1" t="inlineStr">
        <is>
          <t>Fund III</t>
        </is>
      </c>
      <c r="E19" s="1" t="inlineStr">
        <is>
          <t>Fund IV</t>
        </is>
      </c>
      <c r="F19" s="1" t="inlineStr">
        <is>
          <t>Fund V</t>
        </is>
      </c>
      <c r="G19" s="1" t="inlineStr">
        <is>
          <t>Fund VI</t>
        </is>
      </c>
    </row>
    <row r="20">
      <c r="A20" s="2" t="inlineStr">
        <is>
          <t>vs MSCI World</t>
        </is>
      </c>
      <c r="B20" s="3" t="n">
        <v>1.62</v>
      </c>
      <c r="C20" s="3" t="n">
        <v>1.47</v>
      </c>
      <c r="D20" s="3" t="n">
        <v>1.38</v>
      </c>
      <c r="E20" s="3" t="n">
        <v>1.29</v>
      </c>
      <c r="F20" s="3" t="n">
        <v>1.18</v>
      </c>
      <c r="G20" s="3" t="n">
        <v>1.12</v>
      </c>
    </row>
    <row r="21">
      <c r="A21" s="5" t="inlineStr">
        <is>
          <t>vs NASDAQ</t>
        </is>
      </c>
      <c r="B21" s="6" t="n">
        <v>1.38</v>
      </c>
      <c r="C21" s="6" t="n">
        <v>1.25</v>
      </c>
      <c r="D21" s="6" t="n">
        <v>1.18</v>
      </c>
      <c r="E21" s="6" t="n">
        <v>1.08</v>
      </c>
      <c r="F21" s="6" t="n">
        <v>0.98</v>
      </c>
      <c r="G21" s="6" t="n">
        <v>1.02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8A"/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type</t>
        </is>
      </c>
      <c r="D1" s="1" t="inlineStr">
        <is>
          <t>commit_m</t>
        </is>
      </c>
      <c r="E1" s="1" t="inlineStr">
        <is>
          <t>called_m</t>
        </is>
      </c>
      <c r="F1" s="1" t="inlineStr">
        <is>
          <t>dist_m</t>
        </is>
      </c>
      <c r="G1" s="1" t="inlineStr">
        <is>
          <t>nav_m</t>
        </is>
      </c>
      <c r="H1" s="1" t="inlineStr">
        <is>
          <t>irr</t>
        </is>
      </c>
      <c r="I1" s="1" t="inlineStr">
        <is>
          <t>tvpi</t>
        </is>
      </c>
      <c r="J1" s="1" t="inlineStr">
        <is>
          <t>unfunded_m</t>
        </is>
      </c>
    </row>
    <row r="2">
      <c r="A2" s="2" t="inlineStr">
        <is>
          <t>Schroder Adveq</t>
        </is>
      </c>
      <c r="B2" s="2" t="inlineStr">
        <is>
          <t>Zurich</t>
        </is>
      </c>
      <c r="C2" s="2" t="inlineStr">
        <is>
          <t>Fund of Funds</t>
        </is>
      </c>
      <c r="D2" s="3" t="n">
        <v>65</v>
      </c>
      <c r="E2" s="3" t="n">
        <v>44.2</v>
      </c>
      <c r="F2" s="3" t="n">
        <v>8.800000000000001</v>
      </c>
      <c r="G2" s="3" t="n">
        <v>52</v>
      </c>
      <c r="H2" s="3" t="n">
        <v>14.1</v>
      </c>
      <c r="I2" s="3" t="n">
        <v>1.38</v>
      </c>
      <c r="J2" s="4">
        <f>IFERROR(D2-E2,0)</f>
        <v/>
      </c>
    </row>
    <row r="3">
      <c r="A3" s="5" t="inlineStr">
        <is>
          <t>APG</t>
        </is>
      </c>
      <c r="B3" s="5" t="inlineStr">
        <is>
          <t>Amsterdam</t>
        </is>
      </c>
      <c r="C3" s="5" t="inlineStr">
        <is>
          <t>Pension</t>
        </is>
      </c>
      <c r="D3" s="6" t="n">
        <v>50</v>
      </c>
      <c r="E3" s="6" t="n">
        <v>34</v>
      </c>
      <c r="F3" s="6" t="n">
        <v>6.2</v>
      </c>
      <c r="G3" s="6" t="n">
        <v>41</v>
      </c>
      <c r="H3" s="6" t="n">
        <v>13.8</v>
      </c>
      <c r="I3" s="6" t="n">
        <v>1.39</v>
      </c>
      <c r="J3" s="7">
        <f>IFERROR(D3-E3,0)</f>
        <v/>
      </c>
    </row>
    <row r="4">
      <c r="A4" s="2" t="inlineStr">
        <is>
          <t>Neuberger Berman</t>
        </is>
      </c>
      <c r="B4" s="2" t="inlineStr">
        <is>
          <t>New York</t>
        </is>
      </c>
      <c r="C4" s="2" t="inlineStr">
        <is>
          <t>FoF</t>
        </is>
      </c>
      <c r="D4" s="3" t="n">
        <v>45</v>
      </c>
      <c r="E4" s="3" t="n">
        <v>30.6</v>
      </c>
      <c r="F4" s="3" t="n">
        <v>5.4</v>
      </c>
      <c r="G4" s="3" t="n">
        <v>36</v>
      </c>
      <c r="H4" s="3" t="n">
        <v>13.5</v>
      </c>
      <c r="I4" s="3" t="n">
        <v>1.35</v>
      </c>
      <c r="J4" s="4">
        <f>IFERROR(D4-E4,0)</f>
        <v/>
      </c>
    </row>
    <row r="5">
      <c r="A5" s="5" t="inlineStr">
        <is>
          <t>British Business Bk</t>
        </is>
      </c>
      <c r="B5" s="5" t="inlineStr">
        <is>
          <t>Sheffield</t>
        </is>
      </c>
      <c r="C5" s="5" t="inlineStr">
        <is>
          <t>Gov</t>
        </is>
      </c>
      <c r="D5" s="6" t="n">
        <v>40</v>
      </c>
      <c r="E5" s="6" t="n">
        <v>27.2</v>
      </c>
      <c r="F5" s="6" t="n">
        <v>4.8</v>
      </c>
      <c r="G5" s="6" t="n">
        <v>32</v>
      </c>
      <c r="H5" s="6" t="n">
        <v>12.9</v>
      </c>
      <c r="I5" s="6" t="n">
        <v>1.35</v>
      </c>
      <c r="J5" s="7">
        <f>IFERROR(D5-E5,0)</f>
        <v/>
      </c>
    </row>
    <row r="6">
      <c r="A6" s="2" t="inlineStr">
        <is>
          <t>EIF</t>
        </is>
      </c>
      <c r="B6" s="2" t="inlineStr">
        <is>
          <t>Luxembourg</t>
        </is>
      </c>
      <c r="C6" s="2" t="inlineStr">
        <is>
          <t>DFI</t>
        </is>
      </c>
      <c r="D6" s="3" t="n">
        <v>35</v>
      </c>
      <c r="E6" s="3" t="n">
        <v>23.8</v>
      </c>
      <c r="F6" s="3" t="n">
        <v>3.9</v>
      </c>
      <c r="G6" s="3" t="n">
        <v>27</v>
      </c>
      <c r="H6" s="3" t="n">
        <v>13.2</v>
      </c>
      <c r="I6" s="3" t="n">
        <v>1.3</v>
      </c>
      <c r="J6" s="4">
        <f>IFERROR(D6-E6,0)</f>
        <v/>
      </c>
    </row>
    <row r="7">
      <c r="A7" s="5" t="inlineStr">
        <is>
          <t>Adams Street</t>
        </is>
      </c>
      <c r="B7" s="5" t="inlineStr">
        <is>
          <t>Chicago</t>
        </is>
      </c>
      <c r="C7" s="5" t="inlineStr">
        <is>
          <t>FoF</t>
        </is>
      </c>
      <c r="D7" s="6" t="n">
        <v>30</v>
      </c>
      <c r="E7" s="6" t="n">
        <v>20.4</v>
      </c>
      <c r="F7" s="6" t="n">
        <v>3.2</v>
      </c>
      <c r="G7" s="6" t="n">
        <v>24</v>
      </c>
      <c r="H7" s="6" t="n">
        <v>12.8</v>
      </c>
      <c r="I7" s="6" t="n">
        <v>1.33</v>
      </c>
      <c r="J7" s="7">
        <f>IFERROR(D7-E7,0)</f>
        <v/>
      </c>
    </row>
    <row r="8">
      <c r="A8" s="2" t="inlineStr">
        <is>
          <t>Isomer Capital</t>
        </is>
      </c>
      <c r="B8" s="2" t="inlineStr">
        <is>
          <t>London</t>
        </is>
      </c>
      <c r="C8" s="2" t="inlineStr">
        <is>
          <t>FoF</t>
        </is>
      </c>
      <c r="D8" s="3" t="n">
        <v>25</v>
      </c>
      <c r="E8" s="3" t="n">
        <v>17</v>
      </c>
      <c r="F8" s="3" t="n">
        <v>2.5</v>
      </c>
      <c r="G8" s="3" t="n">
        <v>19.5</v>
      </c>
      <c r="H8" s="3" t="n">
        <v>12.6</v>
      </c>
      <c r="I8" s="3" t="n">
        <v>1.29</v>
      </c>
      <c r="J8" s="4">
        <f>IFERROR(D8-E8,0)</f>
        <v/>
      </c>
    </row>
    <row r="9">
      <c r="A9" s="5" t="inlineStr">
        <is>
          <t>GP Commitment</t>
        </is>
      </c>
      <c r="B9" s="5" t="inlineStr">
        <is>
          <t>London</t>
        </is>
      </c>
      <c r="C9" s="5" t="inlineStr">
        <is>
          <t>GP</t>
        </is>
      </c>
      <c r="D9" s="6" t="n">
        <v>20</v>
      </c>
      <c r="E9" s="6" t="n">
        <v>13.6</v>
      </c>
      <c r="F9" s="6" t="n">
        <v>2.1</v>
      </c>
      <c r="G9" s="6" t="n">
        <v>16</v>
      </c>
      <c r="H9" s="6" t="n">
        <v>14.4</v>
      </c>
      <c r="I9" s="6" t="n">
        <v>1.33</v>
      </c>
      <c r="J9" s="7">
        <f>IFERROR(D9-E9,0)</f>
        <v/>
      </c>
    </row>
    <row r="11">
      <c r="A11" s="1" t="inlineStr">
        <is>
          <t>TOTAL / AVG</t>
        </is>
      </c>
      <c r="B11" s="10" t="n"/>
      <c r="C11" s="10" t="n"/>
      <c r="D11" s="7">
        <f>SUM(D2:D9)</f>
        <v/>
      </c>
      <c r="E11" s="7">
        <f>SUM(E2:E9)</f>
        <v/>
      </c>
      <c r="F11" s="7">
        <f>SUM(F2:F9)</f>
        <v/>
      </c>
      <c r="G11" s="7">
        <f>SUM(G2:G9)</f>
        <v/>
      </c>
      <c r="H11" s="7">
        <f>IFERROR(AVERAGE(H2:H9),0)</f>
        <v/>
      </c>
      <c r="I11" s="7">
        <f>IFERROR(AVERAGE(I2:I9),0)</f>
        <v/>
      </c>
      <c r="J11" s="7">
        <f>SUM(J2:J9)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5555"/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advisor</t>
        </is>
      </c>
      <c r="D1" s="1" t="inlineStr">
        <is>
          <t>timing</t>
        </is>
      </c>
      <c r="E1" s="1" t="inlineStr">
        <is>
          <t>bear</t>
        </is>
      </c>
      <c r="F1" s="1" t="inlineStr">
        <is>
          <t>base</t>
        </is>
      </c>
      <c r="G1" s="1" t="inlineStr">
        <is>
          <t>bull</t>
        </is>
      </c>
      <c r="H1" s="1" t="inlineStr">
        <is>
          <t>bear_prob</t>
        </is>
      </c>
      <c r="I1" s="1" t="inlineStr">
        <is>
          <t>base_prob</t>
        </is>
      </c>
      <c r="J1" s="1" t="inlineStr">
        <is>
          <t>bull_prob</t>
        </is>
      </c>
      <c r="K1" s="1" t="inlineStr">
        <is>
          <t>pwav_proceeds</t>
        </is>
      </c>
    </row>
    <row r="2">
      <c r="A2" s="2" t="inlineStr">
        <is>
          <t>Q-CTRL</t>
        </is>
      </c>
      <c r="B2" s="2" t="inlineStr">
        <is>
          <t>Secondary</t>
        </is>
      </c>
      <c r="C2" s="2" t="inlineStr">
        <is>
          <t>Lazard</t>
        </is>
      </c>
      <c r="D2" s="2" t="inlineStr">
        <is>
          <t>Q3 2025</t>
        </is>
      </c>
      <c r="E2" s="3" t="n">
        <v>15</v>
      </c>
      <c r="F2" s="3" t="n">
        <v>18</v>
      </c>
      <c r="G2" s="3" t="n">
        <v>22</v>
      </c>
      <c r="H2" s="3" t="n">
        <v>0.15</v>
      </c>
      <c r="I2" s="3" t="n">
        <v>0.55</v>
      </c>
      <c r="J2" s="3" t="n">
        <v>0.3</v>
      </c>
      <c r="K2" s="4">
        <f>IFERROR(E2*H2+F2*I2+G2*J2,0)</f>
        <v/>
      </c>
    </row>
    <row r="3">
      <c r="A3" s="5" t="inlineStr">
        <is>
          <t>Matillion</t>
        </is>
      </c>
      <c r="B3" s="5" t="inlineStr">
        <is>
          <t>IPO</t>
        </is>
      </c>
      <c r="C3" s="5" t="inlineStr">
        <is>
          <t>GS/MS</t>
        </is>
      </c>
      <c r="D3" s="5" t="inlineStr">
        <is>
          <t>Q4 2025</t>
        </is>
      </c>
      <c r="E3" s="6" t="n">
        <v>22</v>
      </c>
      <c r="F3" s="6" t="n">
        <v>32</v>
      </c>
      <c r="G3" s="6" t="n">
        <v>48</v>
      </c>
      <c r="H3" s="6" t="n">
        <v>0.2</v>
      </c>
      <c r="I3" s="6" t="n">
        <v>0.5</v>
      </c>
      <c r="J3" s="6" t="n">
        <v>0.3</v>
      </c>
      <c r="K3" s="7">
        <f>IFERROR(E3*H3+F3*I3+G3*J3,0)</f>
        <v/>
      </c>
    </row>
    <row r="4">
      <c r="A4" s="2" t="inlineStr">
        <is>
          <t>Quantexa</t>
        </is>
      </c>
      <c r="B4" s="2" t="inlineStr">
        <is>
          <t>Strategic</t>
        </is>
      </c>
      <c r="C4" s="2" t="inlineStr">
        <is>
          <t>Internal</t>
        </is>
      </c>
      <c r="D4" s="2" t="inlineStr">
        <is>
          <t>Q1 2026</t>
        </is>
      </c>
      <c r="E4" s="3" t="n">
        <v>32</v>
      </c>
      <c r="F4" s="3" t="n">
        <v>46</v>
      </c>
      <c r="G4" s="3" t="n">
        <v>62</v>
      </c>
      <c r="H4" s="3" t="n">
        <v>0.2</v>
      </c>
      <c r="I4" s="3" t="n">
        <v>0.5</v>
      </c>
      <c r="J4" s="3" t="n">
        <v>0.3</v>
      </c>
      <c r="K4" s="4">
        <f>IFERROR(E4*H4+F4*I4+G4*J4,0)</f>
        <v/>
      </c>
    </row>
    <row r="5">
      <c r="A5" s="5" t="inlineStr">
        <is>
          <t>Ledger</t>
        </is>
      </c>
      <c r="B5" s="5" t="inlineStr">
        <is>
          <t>M&amp;A</t>
        </is>
      </c>
      <c r="C5" s="5" t="inlineStr">
        <is>
          <t>Thoma Bravo</t>
        </is>
      </c>
      <c r="D5" s="5" t="inlineStr">
        <is>
          <t>Q2 2026</t>
        </is>
      </c>
      <c r="E5" s="6" t="n">
        <v>38</v>
      </c>
      <c r="F5" s="6" t="n">
        <v>55</v>
      </c>
      <c r="G5" s="6" t="n">
        <v>72</v>
      </c>
      <c r="H5" s="6" t="n">
        <v>0.15</v>
      </c>
      <c r="I5" s="6" t="n">
        <v>0.55</v>
      </c>
      <c r="J5" s="6" t="n">
        <v>0.3</v>
      </c>
      <c r="K5" s="7">
        <f>IFERROR(E5*H5+F5*I5+G5*J5,0)</f>
        <v/>
      </c>
    </row>
    <row r="6">
      <c r="A6" s="2" t="inlineStr">
        <is>
          <t>Wayflyer</t>
        </is>
      </c>
      <c r="B6" s="2" t="inlineStr">
        <is>
          <t>IPO</t>
        </is>
      </c>
      <c r="C6" s="2" t="inlineStr">
        <is>
          <t>TBD</t>
        </is>
      </c>
      <c r="D6" s="2" t="inlineStr">
        <is>
          <t>2027</t>
        </is>
      </c>
      <c r="E6" s="3" t="n">
        <v>22</v>
      </c>
      <c r="F6" s="3" t="n">
        <v>36</v>
      </c>
      <c r="G6" s="3" t="n">
        <v>52</v>
      </c>
      <c r="H6" s="3" t="n">
        <v>0.25</v>
      </c>
      <c r="I6" s="3" t="n">
        <v>0.45</v>
      </c>
      <c r="J6" s="3" t="n">
        <v>0.3</v>
      </c>
      <c r="K6" s="4">
        <f>IFERROR(E6*H6+F6*I6+G6*J6,0)</f>
        <v/>
      </c>
    </row>
    <row r="8">
      <c r="A8" s="1" t="inlineStr">
        <is>
          <t>TOTAL</t>
        </is>
      </c>
      <c r="B8" s="8" t="n"/>
      <c r="C8" s="8" t="n"/>
      <c r="D8" s="8" t="n"/>
      <c r="E8" s="4">
        <f>SUM(E2:E6)</f>
        <v/>
      </c>
      <c r="F8" s="4">
        <f>SUM(F2:F6)</f>
        <v/>
      </c>
      <c r="G8" s="4">
        <f>SUM(G2:G6)</f>
        <v/>
      </c>
      <c r="H8" s="8" t="n"/>
      <c r="I8" s="8" t="n"/>
      <c r="J8" s="8" t="n"/>
      <c r="K8" s="4">
        <f>SUM(K2:K6)</f>
        <v/>
      </c>
    </row>
  </sheetData>
  <dataValidations count="1">
    <dataValidation sqref="B2:B6" showDropDown="0" showInputMessage="0" showErrorMessage="1" allowBlank="1" type="list">
      <formula1>"Secondary,IPO,Strategic,M&amp;A"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A776F"/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sector</t>
        </is>
      </c>
      <c r="C1" s="1" t="inlineStr">
        <is>
          <t>stage</t>
        </is>
      </c>
      <c r="D1" s="1" t="inlineStr">
        <is>
          <t>arr_m</t>
        </is>
      </c>
      <c r="E1" s="1" t="inlineStr">
        <is>
          <t>arr_gr_pct</t>
        </is>
      </c>
      <c r="F1" s="1" t="inlineStr">
        <is>
          <t>valuation_m</t>
        </is>
      </c>
      <c r="G1" s="1" t="inlineStr">
        <is>
          <t>ev_arr</t>
        </is>
      </c>
      <c r="H1" s="1" t="inlineStr">
        <is>
          <t>confidence</t>
        </is>
      </c>
    </row>
    <row r="2">
      <c r="A2" s="2" t="inlineStr">
        <is>
          <t>Tractable</t>
        </is>
      </c>
      <c r="B2" s="2" t="inlineStr">
        <is>
          <t>AI Insurance</t>
        </is>
      </c>
      <c r="C2" s="2" t="inlineStr">
        <is>
          <t>Diligence</t>
        </is>
      </c>
      <c r="D2" s="3" t="n">
        <v>45</v>
      </c>
      <c r="E2" s="3" t="n">
        <v>65</v>
      </c>
      <c r="F2" s="3" t="n">
        <v>540</v>
      </c>
      <c r="G2" s="4">
        <f>IFERROR(F2/D2,0)</f>
        <v/>
      </c>
      <c r="H2" s="3" t="inlineStr">
        <is>
          <t>High</t>
        </is>
      </c>
    </row>
    <row r="3">
      <c r="A3" s="5" t="inlineStr">
        <is>
          <t>Corelight</t>
        </is>
      </c>
      <c r="B3" s="5" t="inlineStr">
        <is>
          <t>Cybersecurity</t>
        </is>
      </c>
      <c r="C3" s="5" t="inlineStr">
        <is>
          <t>Diligence</t>
        </is>
      </c>
      <c r="D3" s="6" t="n">
        <v>55</v>
      </c>
      <c r="E3" s="6" t="n">
        <v>50</v>
      </c>
      <c r="F3" s="6" t="n">
        <v>620</v>
      </c>
      <c r="G3" s="7">
        <f>IFERROR(F3/D3,0)</f>
        <v/>
      </c>
      <c r="H3" s="6" t="inlineStr">
        <is>
          <t>High</t>
        </is>
      </c>
    </row>
    <row r="4">
      <c r="A4" s="2" t="inlineStr">
        <is>
          <t>Monite</t>
        </is>
      </c>
      <c r="B4" s="2" t="inlineStr">
        <is>
          <t>B2B FinTech</t>
        </is>
      </c>
      <c r="C4" s="2" t="inlineStr">
        <is>
          <t>Diligence</t>
        </is>
      </c>
      <c r="D4" s="3" t="n">
        <v>12</v>
      </c>
      <c r="E4" s="3" t="n">
        <v>180</v>
      </c>
      <c r="F4" s="3" t="n">
        <v>95</v>
      </c>
      <c r="G4" s="4">
        <f>IFERROR(F4/D4,0)</f>
        <v/>
      </c>
      <c r="H4" s="3" t="inlineStr">
        <is>
          <t>Medium</t>
        </is>
      </c>
    </row>
    <row r="5">
      <c r="A5" s="5" t="inlineStr">
        <is>
          <t>Rasa</t>
        </is>
      </c>
      <c r="B5" s="5" t="inlineStr">
        <is>
          <t>Convo AI</t>
        </is>
      </c>
      <c r="C5" s="5" t="inlineStr">
        <is>
          <t>Diligence</t>
        </is>
      </c>
      <c r="D5" s="6" t="n">
        <v>18</v>
      </c>
      <c r="E5" s="6" t="n">
        <v>95</v>
      </c>
      <c r="F5" s="6" t="n">
        <v>140</v>
      </c>
      <c r="G5" s="7">
        <f>IFERROR(F5/D5,0)</f>
        <v/>
      </c>
      <c r="H5" s="6" t="inlineStr">
        <is>
          <t>Medium</t>
        </is>
      </c>
    </row>
    <row r="6">
      <c r="A6" s="2" t="inlineStr">
        <is>
          <t>Sertis</t>
        </is>
      </c>
      <c r="B6" s="2" t="inlineStr">
        <is>
          <t>AI/Data</t>
        </is>
      </c>
      <c r="C6" s="2" t="inlineStr">
        <is>
          <t>IC Ready</t>
        </is>
      </c>
      <c r="D6" s="3" t="n">
        <v>22</v>
      </c>
      <c r="E6" s="3" t="n">
        <v>110</v>
      </c>
      <c r="F6" s="3" t="n">
        <v>175</v>
      </c>
      <c r="G6" s="4">
        <f>IFERROR(F6/D6,0)</f>
        <v/>
      </c>
      <c r="H6" s="3" t="inlineStr">
        <is>
          <t>High</t>
        </is>
      </c>
    </row>
    <row r="7">
      <c r="A7" s="5" t="inlineStr">
        <is>
          <t>Form3</t>
        </is>
      </c>
      <c r="B7" s="5" t="inlineStr">
        <is>
          <t>Payments Infra</t>
        </is>
      </c>
      <c r="C7" s="5" t="inlineStr">
        <is>
          <t>IC Ready</t>
        </is>
      </c>
      <c r="D7" s="6" t="n">
        <v>28</v>
      </c>
      <c r="E7" s="6" t="n">
        <v>75</v>
      </c>
      <c r="F7" s="6" t="n">
        <v>225</v>
      </c>
      <c r="G7" s="7">
        <f>IFERROR(F7/D7,0)</f>
        <v/>
      </c>
      <c r="H7" s="6" t="inlineStr">
        <is>
          <t>High</t>
        </is>
      </c>
    </row>
    <row r="8">
      <c r="A8" s="2" t="inlineStr">
        <is>
          <t>Synthesia</t>
        </is>
      </c>
      <c r="B8" s="2" t="inlineStr">
        <is>
          <t>AI Video</t>
        </is>
      </c>
      <c r="C8" s="2" t="inlineStr">
        <is>
          <t>Tracking</t>
        </is>
      </c>
      <c r="D8" s="3" t="n">
        <v>32</v>
      </c>
      <c r="E8" s="3" t="n">
        <v>85</v>
      </c>
      <c r="F8" s="3" t="n">
        <v>280</v>
      </c>
      <c r="G8" s="4">
        <f>IFERROR(F8/D8,0)</f>
        <v/>
      </c>
      <c r="H8" s="3" t="inlineStr">
        <is>
          <t>Medium</t>
        </is>
      </c>
    </row>
    <row r="9">
      <c r="A9" s="5" t="inlineStr">
        <is>
          <t>Cogni</t>
        </is>
      </c>
      <c r="B9" s="5" t="inlineStr">
        <is>
          <t>Neo-banking</t>
        </is>
      </c>
      <c r="C9" s="5" t="inlineStr">
        <is>
          <t>Tracking</t>
        </is>
      </c>
      <c r="D9" s="6" t="n">
        <v>8</v>
      </c>
      <c r="E9" s="6" t="n">
        <v>200</v>
      </c>
      <c r="F9" s="6" t="n">
        <v>65</v>
      </c>
      <c r="G9" s="7">
        <f>IFERROR(F9/D9,0)</f>
        <v/>
      </c>
      <c r="H9" s="6" t="inlineStr">
        <is>
          <t>Low</t>
        </is>
      </c>
    </row>
    <row r="10">
      <c r="A10" s="2" t="inlineStr">
        <is>
          <t>Proxima</t>
        </is>
      </c>
      <c r="B10" s="2" t="inlineStr">
        <is>
          <t>eCommerce AI</t>
        </is>
      </c>
      <c r="C10" s="2" t="inlineStr">
        <is>
          <t>Tracking</t>
        </is>
      </c>
      <c r="D10" s="3" t="n">
        <v>14</v>
      </c>
      <c r="E10" s="3" t="n">
        <v>90</v>
      </c>
      <c r="F10" s="3" t="n">
        <v>88</v>
      </c>
      <c r="G10" s="4">
        <f>IFERROR(F10/D10,0)</f>
        <v/>
      </c>
      <c r="H10" s="3" t="inlineStr">
        <is>
          <t>Medium</t>
        </is>
      </c>
    </row>
    <row r="11">
      <c r="A11" s="5" t="inlineStr">
        <is>
          <t>SafetyWing</t>
        </is>
      </c>
      <c r="B11" s="5" t="inlineStr">
        <is>
          <t>InsurTech</t>
        </is>
      </c>
      <c r="C11" s="5" t="inlineStr">
        <is>
          <t>Tracking</t>
        </is>
      </c>
      <c r="D11" s="6" t="n">
        <v>22</v>
      </c>
      <c r="E11" s="6" t="n">
        <v>55</v>
      </c>
      <c r="F11" s="6" t="n">
        <v>140</v>
      </c>
      <c r="G11" s="7">
        <f>IFERROR(F11/D11,0)</f>
        <v/>
      </c>
      <c r="H11" s="6" t="inlineStr">
        <is>
          <t>Medium</t>
        </is>
      </c>
    </row>
    <row r="12">
      <c r="A12" s="2" t="inlineStr">
        <is>
          <t>Supermetrics</t>
        </is>
      </c>
      <c r="B12" s="2" t="inlineStr">
        <is>
          <t>Marketing Tech</t>
        </is>
      </c>
      <c r="C12" s="2" t="inlineStr">
        <is>
          <t>Tracking</t>
        </is>
      </c>
      <c r="D12" s="3" t="n">
        <v>42</v>
      </c>
      <c r="E12" s="3" t="n">
        <v>25</v>
      </c>
      <c r="F12" s="3" t="n">
        <v>310</v>
      </c>
      <c r="G12" s="4">
        <f>IFERROR(F12/D12,0)</f>
        <v/>
      </c>
      <c r="H12" s="3" t="inlineStr">
        <is>
          <t>Low</t>
        </is>
      </c>
    </row>
    <row r="13">
      <c r="A13" s="5" t="inlineStr">
        <is>
          <t>Tessian</t>
        </is>
      </c>
      <c r="B13" s="5" t="inlineStr">
        <is>
          <t>Email Security</t>
        </is>
      </c>
      <c r="C13" s="5" t="inlineStr">
        <is>
          <t>Tracking</t>
        </is>
      </c>
      <c r="D13" s="6" t="n">
        <v>28</v>
      </c>
      <c r="E13" s="6" t="n">
        <v>40</v>
      </c>
      <c r="F13" s="6" t="n">
        <v>195</v>
      </c>
      <c r="G13" s="7">
        <f>IFERROR(F13/D13,0)</f>
        <v/>
      </c>
      <c r="H13" s="6" t="inlineStr">
        <is>
          <t>Medium</t>
        </is>
      </c>
    </row>
  </sheetData>
  <dataValidations count="2">
    <dataValidation sqref="C2:C13" showDropDown="0" showInputMessage="0" showErrorMessage="1" allowBlank="1" type="list">
      <formula1>"Diligence,IC Ready,Tracking,Passed"</formula1>
    </dataValidation>
    <dataValidation sqref="H2:H13" showDropDown="0" showInputMessage="0" showErrorMessage="1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4ACA"/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scenario</t>
        </is>
      </c>
      <c r="B1" s="1" t="inlineStr">
        <is>
          <t>arr_gr</t>
        </is>
      </c>
      <c r="C1" s="1" t="inlineStr">
        <is>
          <t>gm_delta</t>
        </is>
      </c>
      <c r="D1" s="1" t="inlineStr">
        <is>
          <t>nrr</t>
        </is>
      </c>
      <c r="E1" s="1" t="inlineStr">
        <is>
          <t>ev_mult_delta</t>
        </is>
      </c>
      <c r="F1" s="1" t="inlineStr">
        <is>
          <t>dr</t>
        </is>
      </c>
      <c r="G1" s="1" t="inlineStr">
        <is>
          <t>timing_mo</t>
        </is>
      </c>
      <c r="H1" s="1" t="inlineStr">
        <is>
          <t>rates_bp</t>
        </is>
      </c>
      <c r="I1" s="1" t="inlineStr">
        <is>
          <t>fx_pct</t>
        </is>
      </c>
      <c r="J1" s="1" t="inlineStr">
        <is>
          <t>writeoff_pct</t>
        </is>
      </c>
      <c r="K1" s="1" t="inlineStr">
        <is>
          <t>probability</t>
        </is>
      </c>
    </row>
    <row r="2">
      <c r="A2" s="2" t="inlineStr">
        <is>
          <t>Base</t>
        </is>
      </c>
      <c r="B2" s="3" t="n">
        <v>55</v>
      </c>
      <c r="C2" s="3" t="n">
        <v>0</v>
      </c>
      <c r="D2" s="3" t="n">
        <v>118</v>
      </c>
      <c r="E2" s="3" t="n">
        <v>0</v>
      </c>
      <c r="F2" s="3" t="n">
        <v>8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30</v>
      </c>
    </row>
    <row r="3">
      <c r="A3" s="5" t="inlineStr">
        <is>
          <t>Soft Landing</t>
        </is>
      </c>
      <c r="B3" s="6" t="n">
        <v>75</v>
      </c>
      <c r="C3" s="6" t="n">
        <v>3</v>
      </c>
      <c r="D3" s="6" t="n">
        <v>128</v>
      </c>
      <c r="E3" s="6" t="n">
        <v>15</v>
      </c>
      <c r="F3" s="6" t="n">
        <v>8</v>
      </c>
      <c r="G3" s="6" t="n">
        <v>-3</v>
      </c>
      <c r="H3" s="6" t="n">
        <v>-50</v>
      </c>
      <c r="I3" s="6" t="n">
        <v>3</v>
      </c>
      <c r="J3" s="6" t="n">
        <v>0</v>
      </c>
      <c r="K3" s="6" t="n">
        <v>25</v>
      </c>
    </row>
    <row r="4">
      <c r="A4" s="2" t="inlineStr">
        <is>
          <t>Mild Recession</t>
        </is>
      </c>
      <c r="B4" s="3" t="n">
        <v>30</v>
      </c>
      <c r="C4" s="3" t="n">
        <v>-5</v>
      </c>
      <c r="D4" s="3" t="n">
        <v>105</v>
      </c>
      <c r="E4" s="3" t="n">
        <v>-20</v>
      </c>
      <c r="F4" s="3" t="n">
        <v>10</v>
      </c>
      <c r="G4" s="3" t="n">
        <v>6</v>
      </c>
      <c r="H4" s="3" t="n">
        <v>100</v>
      </c>
      <c r="I4" s="3" t="n">
        <v>-5</v>
      </c>
      <c r="J4" s="3" t="n">
        <v>5</v>
      </c>
      <c r="K4" s="3" t="n">
        <v>20</v>
      </c>
    </row>
    <row r="5">
      <c r="A5" s="5" t="inlineStr">
        <is>
          <t>Deep Recession</t>
        </is>
      </c>
      <c r="B5" s="6" t="n">
        <v>-10</v>
      </c>
      <c r="C5" s="6" t="n">
        <v>-12</v>
      </c>
      <c r="D5" s="6" t="n">
        <v>88</v>
      </c>
      <c r="E5" s="6" t="n">
        <v>-40</v>
      </c>
      <c r="F5" s="6" t="n">
        <v>13</v>
      </c>
      <c r="G5" s="6" t="n">
        <v>18</v>
      </c>
      <c r="H5" s="6" t="n">
        <v>200</v>
      </c>
      <c r="I5" s="6" t="n">
        <v>-10</v>
      </c>
      <c r="J5" s="6" t="n">
        <v>15</v>
      </c>
      <c r="K5" s="6" t="n">
        <v>10</v>
      </c>
    </row>
    <row r="6">
      <c r="A6" s="2" t="inlineStr">
        <is>
          <t>Tech Correction</t>
        </is>
      </c>
      <c r="B6" s="3" t="n">
        <v>35</v>
      </c>
      <c r="C6" s="3" t="n">
        <v>-2</v>
      </c>
      <c r="D6" s="3" t="n">
        <v>108</v>
      </c>
      <c r="E6" s="3" t="n">
        <v>-45</v>
      </c>
      <c r="F6" s="3" t="n">
        <v>12</v>
      </c>
      <c r="G6" s="3" t="n">
        <v>12</v>
      </c>
      <c r="H6" s="3" t="n">
        <v>0</v>
      </c>
      <c r="I6" s="3" t="n">
        <v>0</v>
      </c>
      <c r="J6" s="3" t="n">
        <v>8</v>
      </c>
      <c r="K6" s="3" t="n">
        <v>10</v>
      </c>
    </row>
    <row r="7">
      <c r="A7" s="5" t="inlineStr">
        <is>
          <t>AI Acceleration</t>
        </is>
      </c>
      <c r="B7" s="6" t="n">
        <v>95</v>
      </c>
      <c r="C7" s="6" t="n">
        <v>5</v>
      </c>
      <c r="D7" s="6" t="n">
        <v>138</v>
      </c>
      <c r="E7" s="6" t="n">
        <v>30</v>
      </c>
      <c r="F7" s="6" t="n">
        <v>8</v>
      </c>
      <c r="G7" s="6" t="n">
        <v>-6</v>
      </c>
      <c r="H7" s="6" t="n">
        <v>0</v>
      </c>
      <c r="I7" s="6" t="n">
        <v>5</v>
      </c>
      <c r="J7" s="6" t="n">
        <v>0</v>
      </c>
      <c r="K7" s="6" t="n">
        <v>5</v>
      </c>
    </row>
    <row r="8">
      <c r="A8" s="11" t="inlineStr">
        <is>
          <t>⚠ Probabilities must sum to 100</t>
        </is>
      </c>
    </row>
    <row r="9">
      <c r="A9" s="1" t="inlineStr">
        <is>
          <t>Probability Sum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7">
        <f>SUM(K2:K7)</f>
        <v/>
      </c>
    </row>
  </sheetData>
  <dataValidations count="1">
    <dataValidation sqref="K2:K7" showDropDown="0" showInputMessage="0" showErrorMessage="1" allowBlank="0" errorTitle="Invalid" error="Probability must be between 0 and 100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6BD4"/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2" t="inlineStr">
        <is>
          <t>Fund VI — Quarterly Capital Activity</t>
        </is>
      </c>
    </row>
    <row r="2" ht="20" customHeight="1">
      <c r="A2" s="1" t="inlineStr">
        <is>
          <t>quarter</t>
        </is>
      </c>
      <c r="B2" s="1" t="inlineStr">
        <is>
          <t>calls_m</t>
        </is>
      </c>
      <c r="C2" s="1" t="inlineStr">
        <is>
          <t>dist_m</t>
        </is>
      </c>
      <c r="D2" s="1" t="inlineStr">
        <is>
          <t>nav_m</t>
        </is>
      </c>
      <c r="E2" s="1" t="inlineStr">
        <is>
          <t>cumulative_calls</t>
        </is>
      </c>
      <c r="F2" s="1" t="inlineStr">
        <is>
          <t>cumulative_dist</t>
        </is>
      </c>
      <c r="G2" s="1" t="inlineStr">
        <is>
          <t>DPI</t>
        </is>
      </c>
    </row>
    <row r="3">
      <c r="A3" s="6" t="inlineStr">
        <is>
          <t>Q1'23</t>
        </is>
      </c>
      <c r="B3" s="6" t="n">
        <v>95</v>
      </c>
      <c r="C3" s="6" t="n">
        <v>0</v>
      </c>
      <c r="D3" s="6" t="n">
        <v>90</v>
      </c>
      <c r="E3" s="7">
        <f>SUM(B$3:B3)</f>
        <v/>
      </c>
      <c r="F3" s="7">
        <f>SUM(C$3:C3)</f>
        <v/>
      </c>
      <c r="G3" s="7">
        <f>IFERROR(F3/431,0)</f>
        <v/>
      </c>
    </row>
    <row r="4">
      <c r="A4" s="3" t="inlineStr">
        <is>
          <t>Q2'23</t>
        </is>
      </c>
      <c r="B4" s="3" t="n">
        <v>28</v>
      </c>
      <c r="C4" s="3" t="n">
        <v>0</v>
      </c>
      <c r="D4" s="3" t="n">
        <v>118</v>
      </c>
      <c r="E4" s="4">
        <f>SUM(B$3:B4)</f>
        <v/>
      </c>
      <c r="F4" s="4">
        <f>SUM(C$3:C4)</f>
        <v/>
      </c>
      <c r="G4" s="4">
        <f>IFERROR(F4/431,0)</f>
        <v/>
      </c>
    </row>
    <row r="5">
      <c r="A5" s="6" t="inlineStr">
        <is>
          <t>Q3'23</t>
        </is>
      </c>
      <c r="B5" s="6" t="n">
        <v>22</v>
      </c>
      <c r="C5" s="6" t="n">
        <v>0</v>
      </c>
      <c r="D5" s="6" t="n">
        <v>142</v>
      </c>
      <c r="E5" s="7">
        <f>SUM(B$3:B5)</f>
        <v/>
      </c>
      <c r="F5" s="7">
        <f>SUM(C$3:C5)</f>
        <v/>
      </c>
      <c r="G5" s="7">
        <f>IFERROR(F5/431,0)</f>
        <v/>
      </c>
    </row>
    <row r="6">
      <c r="A6" s="3" t="inlineStr">
        <is>
          <t>Q4'23</t>
        </is>
      </c>
      <c r="B6" s="3" t="n">
        <v>30</v>
      </c>
      <c r="C6" s="3" t="n">
        <v>2</v>
      </c>
      <c r="D6" s="3" t="n">
        <v>168</v>
      </c>
      <c r="E6" s="4">
        <f>SUM(B$3:B6)</f>
        <v/>
      </c>
      <c r="F6" s="4">
        <f>SUM(C$3:C6)</f>
        <v/>
      </c>
      <c r="G6" s="4">
        <f>IFERROR(F6/431,0)</f>
        <v/>
      </c>
    </row>
    <row r="7">
      <c r="A7" s="6" t="inlineStr">
        <is>
          <t>Q1'24</t>
        </is>
      </c>
      <c r="B7" s="6" t="n">
        <v>25</v>
      </c>
      <c r="C7" s="6" t="n">
        <v>3</v>
      </c>
      <c r="D7" s="6" t="n">
        <v>198</v>
      </c>
      <c r="E7" s="7">
        <f>SUM(B$3:B7)</f>
        <v/>
      </c>
      <c r="F7" s="7">
        <f>SUM(C$3:C7)</f>
        <v/>
      </c>
      <c r="G7" s="7">
        <f>IFERROR(F7/431,0)</f>
        <v/>
      </c>
    </row>
    <row r="8">
      <c r="A8" s="3" t="inlineStr">
        <is>
          <t>Q2'24</t>
        </is>
      </c>
      <c r="B8" s="3" t="n">
        <v>18</v>
      </c>
      <c r="C8" s="3" t="n">
        <v>4</v>
      </c>
      <c r="D8" s="3" t="n">
        <v>224</v>
      </c>
      <c r="E8" s="4">
        <f>SUM(B$3:B8)</f>
        <v/>
      </c>
      <c r="F8" s="4">
        <f>SUM(C$3:C8)</f>
        <v/>
      </c>
      <c r="G8" s="4">
        <f>IFERROR(F8/431,0)</f>
        <v/>
      </c>
    </row>
    <row r="9">
      <c r="A9" s="6" t="inlineStr">
        <is>
          <t>Q3'24</t>
        </is>
      </c>
      <c r="B9" s="6" t="n">
        <v>22</v>
      </c>
      <c r="C9" s="6" t="n">
        <v>5</v>
      </c>
      <c r="D9" s="6" t="n">
        <v>248</v>
      </c>
      <c r="E9" s="7">
        <f>SUM(B$3:B9)</f>
        <v/>
      </c>
      <c r="F9" s="7">
        <f>SUM(C$3:C9)</f>
        <v/>
      </c>
      <c r="G9" s="7">
        <f>IFERROR(F9/431,0)</f>
        <v/>
      </c>
    </row>
    <row r="10">
      <c r="A10" s="3" t="inlineStr">
        <is>
          <t>Q4'24</t>
        </is>
      </c>
      <c r="B10" s="3" t="n">
        <v>28</v>
      </c>
      <c r="C10" s="3" t="n">
        <v>8</v>
      </c>
      <c r="D10" s="3" t="n">
        <v>268</v>
      </c>
      <c r="E10" s="4">
        <f>SUM(B$3:B10)</f>
        <v/>
      </c>
      <c r="F10" s="4">
        <f>SUM(C$3:C10)</f>
        <v/>
      </c>
      <c r="G10" s="4">
        <f>IFERROR(F10/431,0)</f>
        <v/>
      </c>
    </row>
    <row r="11">
      <c r="A11" s="6" t="inlineStr">
        <is>
          <t>Q1'25</t>
        </is>
      </c>
      <c r="B11" s="6" t="n">
        <v>16</v>
      </c>
      <c r="C11" s="6" t="n">
        <v>15</v>
      </c>
      <c r="D11" s="6" t="n">
        <v>294</v>
      </c>
      <c r="E11" s="7">
        <f>SUM(B$3:B11)</f>
        <v/>
      </c>
      <c r="F11" s="7">
        <f>SUM(C$3:C11)</f>
        <v/>
      </c>
      <c r="G11" s="7">
        <f>IFERROR(F11/431,0)</f>
        <v/>
      </c>
    </row>
    <row r="13">
      <c r="A13" s="1" t="inlineStr">
        <is>
          <t>TOTAL</t>
        </is>
      </c>
      <c r="B13" s="7">
        <f>SUM(B3:B11)</f>
        <v/>
      </c>
      <c r="C13" s="7">
        <f>SUM(C3:C11)</f>
        <v/>
      </c>
      <c r="D13" s="7">
        <f>SUM(D3:D11)</f>
        <v/>
      </c>
      <c r="E13" s="7">
        <f>E11</f>
        <v/>
      </c>
      <c r="F13" s="7">
        <f>F11</f>
        <v/>
      </c>
      <c r="G13" s="7">
        <f>G11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4A44A"/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IRR Benchmarks by Fund</t>
        </is>
      </c>
    </row>
    <row r="2">
      <c r="A2" s="1" t="inlineStr">
        <is>
          <t>metric</t>
        </is>
      </c>
      <c r="B2" s="1" t="inlineStr">
        <is>
          <t>Fund I</t>
        </is>
      </c>
      <c r="C2" s="1" t="inlineStr">
        <is>
          <t>Fund II</t>
        </is>
      </c>
      <c r="D2" s="1" t="inlineStr">
        <is>
          <t>Fund III</t>
        </is>
      </c>
      <c r="E2" s="1" t="inlineStr">
        <is>
          <t>Fund IV</t>
        </is>
      </c>
      <c r="F2" s="1" t="inlineStr">
        <is>
          <t>Fund V</t>
        </is>
      </c>
      <c r="G2" s="1" t="inlineStr">
        <is>
          <t>Fund VI</t>
        </is>
      </c>
    </row>
    <row r="3">
      <c r="A3" s="5" t="inlineStr">
        <is>
          <t>Top Quartile IRR %</t>
        </is>
      </c>
      <c r="B3" s="6" t="n">
        <v>28</v>
      </c>
      <c r="C3" s="6" t="n">
        <v>25</v>
      </c>
      <c r="D3" s="6" t="n">
        <v>22</v>
      </c>
      <c r="E3" s="6" t="n">
        <v>20</v>
      </c>
      <c r="F3" s="6" t="n">
        <v>18</v>
      </c>
      <c r="G3" s="6" t="n">
        <v>16</v>
      </c>
    </row>
    <row r="4">
      <c r="A4" s="2" t="inlineStr">
        <is>
          <t>Median IRR %</t>
        </is>
      </c>
      <c r="B4" s="3" t="n">
        <v>22</v>
      </c>
      <c r="C4" s="3" t="n">
        <v>20</v>
      </c>
      <c r="D4" s="3" t="n">
        <v>17</v>
      </c>
      <c r="E4" s="3" t="n">
        <v>15</v>
      </c>
      <c r="F4" s="3" t="n">
        <v>13</v>
      </c>
      <c r="G4" s="3" t="n">
        <v>11</v>
      </c>
    </row>
    <row r="5">
      <c r="A5" s="5" t="inlineStr">
        <is>
          <t>GP Fund IRR %</t>
        </is>
      </c>
      <c r="B5" s="6" t="n">
        <v>22.1</v>
      </c>
      <c r="C5" s="6" t="n">
        <v>19.8</v>
      </c>
      <c r="D5" s="6" t="n">
        <v>17.2</v>
      </c>
      <c r="E5" s="6" t="n">
        <v>16.5</v>
      </c>
      <c r="F5" s="6" t="n">
        <v>14.8</v>
      </c>
      <c r="G5" s="6" t="n">
        <v>12.4</v>
      </c>
    </row>
    <row r="8">
      <c r="A8" s="12" t="inlineStr">
        <is>
          <t>FX Exposure</t>
        </is>
      </c>
    </row>
    <row r="9">
      <c r="A9" s="1" t="inlineStr">
        <is>
          <t>currency</t>
        </is>
      </c>
      <c r="B9" s="1" t="inlineStr">
        <is>
          <t>exposure_usdm</t>
        </is>
      </c>
      <c r="C9" s="1" t="inlineStr">
        <is>
          <t>hedge_status</t>
        </is>
      </c>
      <c r="D9" s="1" t="inlineStr">
        <is>
          <t>hedge_pct</t>
        </is>
      </c>
    </row>
    <row r="10">
      <c r="A10" s="2" t="inlineStr">
        <is>
          <t>GBP</t>
        </is>
      </c>
      <c r="B10" s="3" t="n">
        <v>77</v>
      </c>
      <c r="C10" s="2" t="inlineStr">
        <is>
          <t>Unhedged</t>
        </is>
      </c>
      <c r="D10" s="3" t="n">
        <v>0</v>
      </c>
    </row>
    <row r="11">
      <c r="A11" s="5" t="inlineStr">
        <is>
          <t>EUR</t>
        </is>
      </c>
      <c r="B11" s="6" t="n">
        <v>32</v>
      </c>
      <c r="C11" s="5" t="inlineStr">
        <is>
          <t>40% Hedged</t>
        </is>
      </c>
      <c r="D11" s="6" t="n">
        <v>40</v>
      </c>
    </row>
    <row r="12">
      <c r="A12" s="2" t="inlineStr">
        <is>
          <t>AUD</t>
        </is>
      </c>
      <c r="B12" s="3" t="n">
        <v>82</v>
      </c>
      <c r="C12" s="2" t="inlineStr">
        <is>
          <t>Unhedged</t>
        </is>
      </c>
      <c r="D12" s="3" t="n">
        <v>0</v>
      </c>
    </row>
    <row r="13">
      <c r="A13" s="5" t="inlineStr">
        <is>
          <t>ILS</t>
        </is>
      </c>
      <c r="B13" s="6" t="n">
        <v>21</v>
      </c>
      <c r="C13" s="5" t="inlineStr">
        <is>
          <t>Unhedged</t>
        </is>
      </c>
      <c r="D13" s="6" t="n">
        <v>0</v>
      </c>
    </row>
    <row r="15">
      <c r="A15" s="1" t="inlineStr">
        <is>
          <t>TOTAL</t>
        </is>
      </c>
      <c r="B15" s="7">
        <f>SUM(B10:B13)</f>
        <v/>
      </c>
      <c r="C15" s="10" t="n"/>
      <c r="D15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44A4A"/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flag</t>
        </is>
      </c>
      <c r="C1" s="1" t="inlineStr">
        <is>
          <t>threshold</t>
        </is>
      </c>
      <c r="D1" s="1" t="inlineStr">
        <is>
          <t>current_value</t>
        </is>
      </c>
      <c r="E1" s="1" t="inlineStr">
        <is>
          <t>status</t>
        </is>
      </c>
    </row>
    <row r="2">
      <c r="A2" s="2" t="inlineStr">
        <is>
          <t>Q-CTRL</t>
        </is>
      </c>
      <c r="B2" s="2" t="inlineStr">
        <is>
          <t>Concentration</t>
        </is>
      </c>
      <c r="C2" s="3" t="inlineStr">
        <is>
          <t>25% max</t>
        </is>
      </c>
      <c r="D2" s="3" t="n">
        <v>27.9</v>
      </c>
      <c r="E2" s="13" t="inlineStr">
        <is>
          <t>BREACH</t>
        </is>
      </c>
    </row>
    <row r="3">
      <c r="A3" s="5" t="inlineStr">
        <is>
          <t>d-Matrix</t>
        </is>
      </c>
      <c r="B3" s="5" t="inlineStr">
        <is>
          <t>Runway</t>
        </is>
      </c>
      <c r="C3" s="6" t="inlineStr">
        <is>
          <t>12mo min</t>
        </is>
      </c>
      <c r="D3" s="6" t="inlineStr">
        <is>
          <t>14mo</t>
        </is>
      </c>
      <c r="E3" s="14" t="inlineStr">
        <is>
          <t>WARNING</t>
        </is>
      </c>
    </row>
    <row r="4">
      <c r="A4" s="2" t="inlineStr">
        <is>
          <t>Sanity</t>
        </is>
      </c>
      <c r="B4" s="2" t="inlineStr">
        <is>
          <t>Growth Decel</t>
        </is>
      </c>
      <c r="C4" s="3" t="inlineStr">
        <is>
          <t>35% min</t>
        </is>
      </c>
      <c r="D4" s="4">
        <f>IFERROR(VLOOKUP("Sanity",Portfolio!A:C,3,0),35)</f>
        <v/>
      </c>
      <c r="E4" s="4">
        <f>IF(D4&lt;35,"BREACH",IF(D4&lt;45,"WARNING","OK"))</f>
        <v/>
      </c>
    </row>
    <row r="5">
      <c r="A5" s="5" t="inlineStr">
        <is>
          <t>Headway</t>
        </is>
      </c>
      <c r="B5" s="5" t="inlineStr">
        <is>
          <t>NRR&lt;100%</t>
        </is>
      </c>
      <c r="C5" s="6" t="inlineStr">
        <is>
          <t>100% min</t>
        </is>
      </c>
      <c r="D5" s="7">
        <f>IFERROR(VLOOKUP("Headway",Portfolio!A:I,9,0),95)</f>
        <v/>
      </c>
      <c r="E5" s="7">
        <f>IF(D5&lt;100,"BREACH","WARNING")</f>
        <v/>
      </c>
    </row>
  </sheetData>
  <conditionalFormatting sqref="E2:E5">
    <cfRule type="cellIs" priority="1" operator="equal" dxfId="0">
      <formula>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D4A4"/>
    <outlinePr summaryBelow="1" summaryRight="1"/>
    <pageSetUpPr/>
  </sheetPr>
  <dimension ref="A1:A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</cols>
  <sheetData>
    <row r="1" ht="18" customHeight="1">
      <c r="A1" s="15" t="inlineStr">
        <is>
          <t>GPBullhound_LiveData.xlsx — Setup &amp; Publishing Guide</t>
        </is>
      </c>
    </row>
    <row r="2" ht="18" customHeight="1">
      <c r="A2" s="16" t="inlineStr"/>
    </row>
    <row r="3" ht="18" customHeight="1">
      <c r="A3" s="17" t="inlineStr">
        <is>
          <t>1. LIVE DATA FEED — Publishing Sheet 1 (Portfolio) as CSV</t>
        </is>
      </c>
    </row>
    <row r="4" ht="18" customHeight="1">
      <c r="A4" s="16" t="inlineStr">
        <is>
          <t xml:space="preserve">   a. Open this workbook in Excel for the web (Office 365).</t>
        </is>
      </c>
    </row>
    <row r="5" ht="18" customHeight="1">
      <c r="A5" s="18" t="inlineStr">
        <is>
          <t xml:space="preserve">   b. Go to File &gt; Save As &gt; Download a Copy — or use the Share menu.</t>
        </is>
      </c>
    </row>
    <row r="6" ht="18" customHeight="1">
      <c r="A6" s="16" t="inlineStr">
        <is>
          <t xml:space="preserve">   c. To publish as CSV: File &gt; Export &gt; Change File Type &gt; CSV.</t>
        </is>
      </c>
    </row>
    <row r="7" ht="18" customHeight="1">
      <c r="A7" s="18" t="inlineStr">
        <is>
          <t xml:space="preserve">   d. Save to OneDrive / SharePoint for continuous sync.</t>
        </is>
      </c>
    </row>
    <row r="8" ht="18" customHeight="1">
      <c r="A8" s="16" t="inlineStr">
        <is>
          <t xml:space="preserve">   e. Copy the share link (view-only) for dashboard consumption.</t>
        </is>
      </c>
    </row>
    <row r="9" ht="18" customHeight="1">
      <c r="A9" s="18" t="inlineStr"/>
    </row>
    <row r="10" ht="18" customHeight="1">
      <c r="A10" s="17" t="inlineStr">
        <is>
          <t>2. CONNECTING TO THE BULLHOUND DASHBOARD</t>
        </is>
      </c>
    </row>
    <row r="11" ht="18" customHeight="1">
      <c r="A11" s="18" t="inlineStr">
        <is>
          <t xml:space="preserve">   a. In bullhound_dashboard.html, update DATA_CSV_URL constant</t>
        </is>
      </c>
    </row>
    <row r="12" ht="18" customHeight="1">
      <c r="A12" s="16" t="inlineStr">
        <is>
          <t xml:space="preserve">      to the published CSV share link from step 1e.</t>
        </is>
      </c>
    </row>
    <row r="13" ht="18" customHeight="1">
      <c r="A13" s="18" t="inlineStr">
        <is>
          <t xml:space="preserve">   b. The dashboard auto-refreshes every 5 minutes via fetch().</t>
        </is>
      </c>
    </row>
    <row r="14" ht="18" customHeight="1">
      <c r="A14" s="16" t="inlineStr">
        <is>
          <t xml:space="preserve">   c. Ensure CORS headers are set on the CSV host if self-hosted.</t>
        </is>
      </c>
    </row>
    <row r="15" ht="18" customHeight="1">
      <c r="A15" s="18" t="inlineStr"/>
    </row>
    <row r="16" ht="18" customHeight="1">
      <c r="A16" s="17" t="inlineStr">
        <is>
          <t>3. FORMULA COLOUR CONVENTION</t>
        </is>
      </c>
    </row>
    <row r="17" ht="18" customHeight="1">
      <c r="A17" s="18" t="inlineStr">
        <is>
          <t xml:space="preserve">   Blue  (#4A8BD4) — manually entered input values.</t>
        </is>
      </c>
    </row>
    <row r="18" ht="18" customHeight="1">
      <c r="A18" s="16" t="inlineStr">
        <is>
          <t xml:space="preserve">   Green (#2ECC8A) — formula-derived values (do NOT overwrite).</t>
        </is>
      </c>
    </row>
    <row r="19" ht="18" customHeight="1">
      <c r="A19" s="18" t="inlineStr">
        <is>
          <t xml:space="preserve">   Red   (#E05555) — BREACH cells requiring immediate attention.</t>
        </is>
      </c>
    </row>
    <row r="20" ht="18" customHeight="1">
      <c r="A20" s="16" t="inlineStr"/>
    </row>
    <row r="21" ht="18" customHeight="1">
      <c r="A21" s="17" t="inlineStr">
        <is>
          <t>4. DATA VALIDATION</t>
        </is>
      </c>
    </row>
    <row r="22" ht="18" customHeight="1">
      <c r="A22" s="16" t="inlineStr">
        <is>
          <t xml:space="preserve">   • Portfolio!P  — status  : Star | Core | High Growth | Watch</t>
        </is>
      </c>
    </row>
    <row r="23" ht="18" customHeight="1">
      <c r="A23" s="18" t="inlineStr">
        <is>
          <t xml:space="preserve">   • Portfolio!N  — stage   : Series A/B/C/D/E | Pre-IPO</t>
        </is>
      </c>
    </row>
    <row r="24" ht="18" customHeight="1">
      <c r="A24" s="16" t="inlineStr">
        <is>
          <t xml:space="preserve">   • Pipeline!H   — confidence: High | Medium | Low</t>
        </is>
      </c>
    </row>
    <row r="25" ht="18" customHeight="1">
      <c r="A25" s="18" t="inlineStr">
        <is>
          <t xml:space="preserve">   • MacroScenarios!K — probability (must sum to 100)</t>
        </is>
      </c>
    </row>
    <row r="26" ht="18" customHeight="1">
      <c r="A26" s="16" t="inlineStr"/>
    </row>
    <row r="27" ht="18" customHeight="1">
      <c r="A27" s="17" t="inlineStr">
        <is>
          <t>5. RECALCULATION</t>
        </is>
      </c>
    </row>
    <row r="28" ht="18" customHeight="1">
      <c r="A28" s="16" t="inlineStr">
        <is>
          <t xml:space="preserve">   Run:  python scripts/recalc.py</t>
        </is>
      </c>
    </row>
    <row r="29" ht="18" customHeight="1">
      <c r="A29" s="18" t="inlineStr">
        <is>
          <t xml:space="preserve">   This script opens the workbook, iterates all cells, and reports</t>
        </is>
      </c>
    </row>
    <row r="30" ht="18" customHeight="1">
      <c r="A30" s="16" t="inlineStr">
        <is>
          <t xml:space="preserve">   any formula errors (#DIV/0!, #REF!, #N/A, etc.).</t>
        </is>
      </c>
    </row>
    <row r="31" ht="18" customHeight="1">
      <c r="A31" s="18" t="inlineStr"/>
    </row>
    <row r="32" ht="18" customHeight="1">
      <c r="A32" s="17" t="inlineStr">
        <is>
          <t>6. ADDING NEW PORTFOLIO COMPANIES</t>
        </is>
      </c>
    </row>
    <row r="33" ht="18" customHeight="1">
      <c r="A33" s="18" t="inlineStr">
        <is>
          <t xml:space="preserve">   a. Insert a row in Portfolio rows 2–11 (extend range to 12).</t>
        </is>
      </c>
    </row>
    <row r="34" ht="18" customHeight="1">
      <c r="A34" s="16" t="inlineStr">
        <is>
          <t xml:space="preserve">   b. Update $D$2:$D$11 references in nav_pct formulas to match.</t>
        </is>
      </c>
    </row>
    <row r="35" ht="18" customHeight="1">
      <c r="A35" s="18" t="inlineStr">
        <is>
          <t xml:space="preserve">   c. Re-run recalc.py to confirm zero errors.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2026-02-18T10:07:19Z</dcterms:created>
  <dcterms:modified xsi:type="dcterms:W3CDTF">2026-02-18T10:07:19Z</dcterms:modified>
</cp:coreProperties>
</file>